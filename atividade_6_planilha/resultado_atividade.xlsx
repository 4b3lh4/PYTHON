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ção 2012-2026" sheetId="1" state="visible" r:id="rId3"/>
    <sheet name="Cruzamento Tabela 1.1.1" sheetId="2" state="visible" r:id="rId4"/>
    <sheet name="Correlaçõ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<sst xmlns="http://schemas.openxmlformats.org/spreadsheetml/2006/main" count="202" uniqueCount="75">
  <si>
    <t xml:space="preserve">Sigla</t>
  </si>
  <si>
    <t xml:space="preserve">Código</t>
  </si>
  <si>
    <t xml:space="preserve">Estado</t>
  </si>
  <si>
    <t xml:space="preserve">Homens 2012 (%)</t>
  </si>
  <si>
    <t xml:space="preserve">Mulheres 2012 (%)</t>
  </si>
  <si>
    <t xml:space="preserve">Homens 2026 (%)</t>
  </si>
  <si>
    <t xml:space="preserve">Mulheres 2026 (%)</t>
  </si>
  <si>
    <t xml:space="preserve">Var. Homens (p.p.)</t>
  </si>
  <si>
    <t xml:space="preserve">Var. Mulheres (p.p.)</t>
  </si>
  <si>
    <t xml:space="preserve">Maioria 2012</t>
  </si>
  <si>
    <t xml:space="preserve">Maioria 2026</t>
  </si>
  <si>
    <t xml:space="preserve">AC</t>
  </si>
  <si>
    <t xml:space="preserve">Acre</t>
  </si>
  <si>
    <t xml:space="preserve">AL</t>
  </si>
  <si>
    <t xml:space="preserve">Alagoas</t>
  </si>
  <si>
    <t xml:space="preserve">AM</t>
  </si>
  <si>
    <t xml:space="preserve">Amazonas</t>
  </si>
  <si>
    <t xml:space="preserve">AP</t>
  </si>
  <si>
    <t xml:space="preserve">Amapá</t>
  </si>
  <si>
    <t xml:space="preserve">BA</t>
  </si>
  <si>
    <t xml:space="preserve">Bahia</t>
  </si>
  <si>
    <t xml:space="preserve">CE</t>
  </si>
  <si>
    <t xml:space="preserve">Ceará</t>
  </si>
  <si>
    <t xml:space="preserve">DF</t>
  </si>
  <si>
    <t xml:space="preserve">Distrito Federal</t>
  </si>
  <si>
    <t xml:space="preserve">ES</t>
  </si>
  <si>
    <t xml:space="preserve">Espírito Santo</t>
  </si>
  <si>
    <t xml:space="preserve">GO</t>
  </si>
  <si>
    <t xml:space="preserve">Goiás</t>
  </si>
  <si>
    <t xml:space="preserve">MA</t>
  </si>
  <si>
    <t xml:space="preserve">Maranhão</t>
  </si>
  <si>
    <t xml:space="preserve">MG</t>
  </si>
  <si>
    <t xml:space="preserve">Minas Gerais</t>
  </si>
  <si>
    <t xml:space="preserve">MS</t>
  </si>
  <si>
    <t xml:space="preserve">Mato Grosso do Sul</t>
  </si>
  <si>
    <t xml:space="preserve">MT</t>
  </si>
  <si>
    <t xml:space="preserve">Mato Grosso</t>
  </si>
  <si>
    <t xml:space="preserve">PA</t>
  </si>
  <si>
    <t xml:space="preserve">Pará</t>
  </si>
  <si>
    <t xml:space="preserve">PB</t>
  </si>
  <si>
    <t xml:space="preserve">Paraíba</t>
  </si>
  <si>
    <t xml:space="preserve">PE</t>
  </si>
  <si>
    <t xml:space="preserve">Pernambuco</t>
  </si>
  <si>
    <t xml:space="preserve">PI</t>
  </si>
  <si>
    <t xml:space="preserve">Piauí</t>
  </si>
  <si>
    <t xml:space="preserve">PR</t>
  </si>
  <si>
    <t xml:space="preserve">Paraná</t>
  </si>
  <si>
    <t xml:space="preserve">RJ</t>
  </si>
  <si>
    <t xml:space="preserve">Rio de Janeiro</t>
  </si>
  <si>
    <t xml:space="preserve">RN</t>
  </si>
  <si>
    <t xml:space="preserve">Rio Grande do Norte</t>
  </si>
  <si>
    <t xml:space="preserve">RO</t>
  </si>
  <si>
    <t xml:space="preserve">Rondônia</t>
  </si>
  <si>
    <t xml:space="preserve">RR</t>
  </si>
  <si>
    <t xml:space="preserve">Roraima</t>
  </si>
  <si>
    <t xml:space="preserve">RS</t>
  </si>
  <si>
    <t xml:space="preserve">Rio Grande do Sul</t>
  </si>
  <si>
    <t xml:space="preserve">SC</t>
  </si>
  <si>
    <t xml:space="preserve">Santa Catarina</t>
  </si>
  <si>
    <t xml:space="preserve">SE</t>
  </si>
  <si>
    <t xml:space="preserve">Sergipe</t>
  </si>
  <si>
    <t xml:space="preserve">SP</t>
  </si>
  <si>
    <t xml:space="preserve">São Paulo</t>
  </si>
  <si>
    <t xml:space="preserve">TO</t>
  </si>
  <si>
    <t xml:space="preserve">Tocantins</t>
  </si>
  <si>
    <t xml:space="preserve">Média dos estados</t>
  </si>
  <si>
    <t xml:space="preserve">Estados com maioria feminina</t>
  </si>
  <si>
    <t xml:space="preserve">Horas total 2022</t>
  </si>
  <si>
    <t xml:space="preserve">Horas Homem (média)</t>
  </si>
  <si>
    <t xml:space="preserve">Horas Mulher (média)</t>
  </si>
  <si>
    <t xml:space="preserve">Diferença horas (M - H)</t>
  </si>
  <si>
    <t xml:space="preserve">Mulheres</t>
  </si>
  <si>
    <t xml:space="preserve">Homens</t>
  </si>
  <si>
    <t xml:space="preserve">Matriz de correlação (Pearson) - 27 UFs</t>
  </si>
  <si>
    <t xml:space="preserve">Fonte: IBGE/PNAD Contínua (Tabela 1.1.1, 2022) e Tabelas 5 fornecidas na aula.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</si>
</sst>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2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n">
        <v>12</v>
      </c>
      <c r="C2" s="2" t="s">
        <v>12</v>
      </c>
      <c r="D2" s="3" t="n">
        <v>45.3</v>
      </c>
      <c r="E2" s="3" t="n">
        <v>54.7</v>
      </c>
      <c r="F2" s="3" t="n">
        <v>53.2</v>
      </c>
      <c r="G2" s="3" t="n">
        <v>46.8</v>
      </c>
      <c r="H2" s="3" t="n">
        <f aca="false">F2-D2</f>
        <v>7.90000000000001</v>
      </c>
      <c r="I2" s="3" t="n">
        <f aca="false">G2-E2</f>
        <v>-7.90000000000001</v>
      </c>
      <c r="J2" s="2" t="str">
        <f aca="false">IF(E2&gt;D2,"Mulheres","Homens")</f>
        <v>Mulheres</v>
      </c>
      <c r="K2" s="2" t="str">
        <f aca="false">IF(G2&gt;F2,"Mulheres","Homens")</f>
        <v>Homens</v>
      </c>
    </row>
    <row r="3" customFormat="false" ht="15" hidden="false" customHeight="false" outlineLevel="0" collapsed="false">
      <c r="A3" s="2" t="s">
        <v>13</v>
      </c>
      <c r="B3" s="2" t="n">
        <v>27</v>
      </c>
      <c r="C3" s="2" t="s">
        <v>14</v>
      </c>
      <c r="D3" s="3" t="n">
        <v>44.7</v>
      </c>
      <c r="E3" s="3" t="n">
        <v>55.3</v>
      </c>
      <c r="F3" s="3" t="n">
        <v>50.7</v>
      </c>
      <c r="G3" s="3" t="n">
        <v>49.3</v>
      </c>
      <c r="H3" s="3" t="n">
        <f aca="false">F3-D3</f>
        <v>6</v>
      </c>
      <c r="I3" s="3" t="n">
        <f aca="false">G3-E3</f>
        <v>-6</v>
      </c>
      <c r="J3" s="2" t="str">
        <f aca="false">IF(E3&gt;D3,"Mulheres","Homens")</f>
        <v>Mulheres</v>
      </c>
      <c r="K3" s="2" t="str">
        <f aca="false">IF(G3&gt;F3,"Mulheres","Homens")</f>
        <v>Homens</v>
      </c>
    </row>
    <row r="4" customFormat="false" ht="15" hidden="false" customHeight="false" outlineLevel="0" collapsed="false">
      <c r="A4" s="2" t="s">
        <v>15</v>
      </c>
      <c r="B4" s="2" t="n">
        <v>13</v>
      </c>
      <c r="C4" s="2" t="s">
        <v>16</v>
      </c>
      <c r="D4" s="3" t="n">
        <v>47.5</v>
      </c>
      <c r="E4" s="3" t="n">
        <v>52.5</v>
      </c>
      <c r="F4" s="3" t="n">
        <v>46.8</v>
      </c>
      <c r="G4" s="3" t="n">
        <v>53.2</v>
      </c>
      <c r="H4" s="3" t="n">
        <f aca="false">F4-D4</f>
        <v>-0.700000000000003</v>
      </c>
      <c r="I4" s="3" t="n">
        <f aca="false">G4-E4</f>
        <v>0.700000000000003</v>
      </c>
      <c r="J4" s="2" t="str">
        <f aca="false">IF(E4&gt;D4,"Mulheres","Homens")</f>
        <v>Mulheres</v>
      </c>
      <c r="K4" s="2" t="str">
        <f aca="false">IF(G4&gt;F4,"Mulheres","Homens")</f>
        <v>Mulheres</v>
      </c>
    </row>
    <row r="5" customFormat="false" ht="15" hidden="false" customHeight="false" outlineLevel="0" collapsed="false">
      <c r="A5" s="2" t="s">
        <v>17</v>
      </c>
      <c r="B5" s="2" t="n">
        <v>16</v>
      </c>
      <c r="C5" s="2" t="s">
        <v>18</v>
      </c>
      <c r="D5" s="3" t="n">
        <v>48.1</v>
      </c>
      <c r="E5" s="3" t="n">
        <v>51.9</v>
      </c>
      <c r="F5" s="3" t="n">
        <v>51.1</v>
      </c>
      <c r="G5" s="3" t="n">
        <v>48.9</v>
      </c>
      <c r="H5" s="3" t="n">
        <f aca="false">F5-D5</f>
        <v>3</v>
      </c>
      <c r="I5" s="3" t="n">
        <f aca="false">G5-E5</f>
        <v>-3</v>
      </c>
      <c r="J5" s="2" t="str">
        <f aca="false">IF(E5&gt;D5,"Mulheres","Homens")</f>
        <v>Mulheres</v>
      </c>
      <c r="K5" s="2" t="str">
        <f aca="false">IF(G5&gt;F5,"Mulheres","Homens")</f>
        <v>Homens</v>
      </c>
    </row>
    <row r="6" customFormat="false" ht="15" hidden="false" customHeight="false" outlineLevel="0" collapsed="false">
      <c r="A6" s="2" t="s">
        <v>19</v>
      </c>
      <c r="B6" s="2" t="n">
        <v>29</v>
      </c>
      <c r="C6" s="2" t="s">
        <v>20</v>
      </c>
      <c r="D6" s="3" t="n">
        <v>43.8</v>
      </c>
      <c r="E6" s="3" t="n">
        <v>56.2</v>
      </c>
      <c r="F6" s="3" t="n">
        <v>44.7</v>
      </c>
      <c r="G6" s="3" t="n">
        <v>55.3</v>
      </c>
      <c r="H6" s="3" t="n">
        <f aca="false">F6-D6</f>
        <v>0.900000000000006</v>
      </c>
      <c r="I6" s="3" t="n">
        <f aca="false">G6-E6</f>
        <v>-0.900000000000006</v>
      </c>
      <c r="J6" s="2" t="str">
        <f aca="false">IF(E6&gt;D6,"Mulheres","Homens")</f>
        <v>Mulheres</v>
      </c>
      <c r="K6" s="2" t="str">
        <f aca="false">IF(G6&gt;F6,"Mulheres","Homens")</f>
        <v>Mulheres</v>
      </c>
    </row>
    <row r="7" customFormat="false" ht="15" hidden="false" customHeight="false" outlineLevel="0" collapsed="false">
      <c r="A7" s="2" t="s">
        <v>21</v>
      </c>
      <c r="B7" s="2" t="n">
        <v>23</v>
      </c>
      <c r="C7" s="2" t="s">
        <v>22</v>
      </c>
      <c r="D7" s="3" t="n">
        <v>51.1</v>
      </c>
      <c r="E7" s="3" t="n">
        <v>48.9</v>
      </c>
      <c r="F7" s="3" t="n">
        <v>52.7</v>
      </c>
      <c r="G7" s="3" t="n">
        <v>47.3</v>
      </c>
      <c r="H7" s="3" t="n">
        <f aca="false">F7-D7</f>
        <v>1.6</v>
      </c>
      <c r="I7" s="3" t="n">
        <f aca="false">G7-E7</f>
        <v>-1.6</v>
      </c>
      <c r="J7" s="2" t="str">
        <f aca="false">IF(E7&gt;D7,"Mulheres","Homens")</f>
        <v>Homens</v>
      </c>
      <c r="K7" s="2" t="str">
        <f aca="false">IF(G7&gt;F7,"Mulheres","Homens")</f>
        <v>Homens</v>
      </c>
    </row>
    <row r="8" customFormat="false" ht="15" hidden="false" customHeight="false" outlineLevel="0" collapsed="false">
      <c r="A8" s="2" t="s">
        <v>23</v>
      </c>
      <c r="B8" s="2" t="n">
        <v>53</v>
      </c>
      <c r="C8" s="2" t="s">
        <v>24</v>
      </c>
      <c r="D8" s="3" t="n">
        <v>41</v>
      </c>
      <c r="E8" s="3" t="n">
        <v>59</v>
      </c>
      <c r="F8" s="3" t="n">
        <v>47.9</v>
      </c>
      <c r="G8" s="3" t="n">
        <v>52.1</v>
      </c>
      <c r="H8" s="3" t="n">
        <f aca="false">F8-D8</f>
        <v>6.9</v>
      </c>
      <c r="I8" s="3" t="n">
        <f aca="false">G8-E8</f>
        <v>-6.9</v>
      </c>
      <c r="J8" s="2" t="str">
        <f aca="false">IF(E8&gt;D8,"Mulheres","Homens")</f>
        <v>Mulheres</v>
      </c>
      <c r="K8" s="2" t="str">
        <f aca="false">IF(G8&gt;F8,"Mulheres","Homens")</f>
        <v>Mulheres</v>
      </c>
    </row>
    <row r="9" customFormat="false" ht="15" hidden="false" customHeight="false" outlineLevel="0" collapsed="false">
      <c r="A9" s="2" t="s">
        <v>25</v>
      </c>
      <c r="B9" s="2" t="n">
        <v>32</v>
      </c>
      <c r="C9" s="2" t="s">
        <v>26</v>
      </c>
      <c r="D9" s="3" t="n">
        <v>46.4</v>
      </c>
      <c r="E9" s="3" t="n">
        <v>53.6</v>
      </c>
      <c r="F9" s="3" t="n">
        <v>47.5</v>
      </c>
      <c r="G9" s="3" t="n">
        <v>52.5</v>
      </c>
      <c r="H9" s="3" t="n">
        <f aca="false">F9-D9</f>
        <v>1.1</v>
      </c>
      <c r="I9" s="3" t="n">
        <f aca="false">G9-E9</f>
        <v>-1.1</v>
      </c>
      <c r="J9" s="2" t="str">
        <f aca="false">IF(E9&gt;D9,"Mulheres","Homens")</f>
        <v>Mulheres</v>
      </c>
      <c r="K9" s="2" t="str">
        <f aca="false">IF(G9&gt;F9,"Mulheres","Homens")</f>
        <v>Mulheres</v>
      </c>
    </row>
    <row r="10" customFormat="false" ht="15" hidden="false" customHeight="false" outlineLevel="0" collapsed="false">
      <c r="A10" s="2" t="s">
        <v>27</v>
      </c>
      <c r="B10" s="2" t="n">
        <v>52</v>
      </c>
      <c r="C10" s="2" t="s">
        <v>28</v>
      </c>
      <c r="D10" s="3" t="n">
        <v>41</v>
      </c>
      <c r="E10" s="3" t="n">
        <v>59</v>
      </c>
      <c r="F10" s="3" t="n">
        <v>47.5</v>
      </c>
      <c r="G10" s="3" t="n">
        <v>52.5</v>
      </c>
      <c r="H10" s="3" t="n">
        <f aca="false">F10-D10</f>
        <v>6.5</v>
      </c>
      <c r="I10" s="3" t="n">
        <f aca="false">G10-E10</f>
        <v>-6.5</v>
      </c>
      <c r="J10" s="2" t="str">
        <f aca="false">IF(E10&gt;D10,"Mulheres","Homens")</f>
        <v>Mulheres</v>
      </c>
      <c r="K10" s="2" t="str">
        <f aca="false">IF(G10&gt;F10,"Mulheres","Homens")</f>
        <v>Mulheres</v>
      </c>
    </row>
    <row r="11" customFormat="false" ht="15" hidden="false" customHeight="false" outlineLevel="0" collapsed="false">
      <c r="A11" s="2" t="s">
        <v>29</v>
      </c>
      <c r="B11" s="2" t="n">
        <v>21</v>
      </c>
      <c r="C11" s="2" t="s">
        <v>30</v>
      </c>
      <c r="D11" s="3" t="n">
        <v>47.2</v>
      </c>
      <c r="E11" s="3" t="n">
        <v>52.8</v>
      </c>
      <c r="F11" s="3" t="n">
        <v>49.1</v>
      </c>
      <c r="G11" s="3" t="n">
        <v>50.9</v>
      </c>
      <c r="H11" s="3" t="n">
        <f aca="false">F11-D11</f>
        <v>1.9</v>
      </c>
      <c r="I11" s="3" t="n">
        <f aca="false">G11-E11</f>
        <v>-1.9</v>
      </c>
      <c r="J11" s="2" t="str">
        <f aca="false">IF(E11&gt;D11,"Mulheres","Homens")</f>
        <v>Mulheres</v>
      </c>
      <c r="K11" s="2" t="str">
        <f aca="false">IF(G11&gt;F11,"Mulheres","Homens")</f>
        <v>Mulheres</v>
      </c>
    </row>
    <row r="12" customFormat="false" ht="15" hidden="false" customHeight="false" outlineLevel="0" collapsed="false">
      <c r="A12" s="2" t="s">
        <v>31</v>
      </c>
      <c r="B12" s="2" t="n">
        <v>31</v>
      </c>
      <c r="C12" s="2" t="s">
        <v>32</v>
      </c>
      <c r="D12" s="3" t="n">
        <v>43.1</v>
      </c>
      <c r="E12" s="3" t="n">
        <v>56.9</v>
      </c>
      <c r="F12" s="3" t="n">
        <v>48.6</v>
      </c>
      <c r="G12" s="3" t="n">
        <v>51.4</v>
      </c>
      <c r="H12" s="3" t="n">
        <f aca="false">F12-D12</f>
        <v>5.5</v>
      </c>
      <c r="I12" s="3" t="n">
        <f aca="false">G12-E12</f>
        <v>-5.5</v>
      </c>
      <c r="J12" s="2" t="str">
        <f aca="false">IF(E12&gt;D12,"Mulheres","Homens")</f>
        <v>Mulheres</v>
      </c>
      <c r="K12" s="2" t="str">
        <f aca="false">IF(G12&gt;F12,"Mulheres","Homens")</f>
        <v>Mulheres</v>
      </c>
    </row>
    <row r="13" customFormat="false" ht="15" hidden="false" customHeight="false" outlineLevel="0" collapsed="false">
      <c r="A13" s="2" t="s">
        <v>33</v>
      </c>
      <c r="B13" s="2" t="n">
        <v>50</v>
      </c>
      <c r="C13" s="2" t="s">
        <v>34</v>
      </c>
      <c r="D13" s="3" t="n">
        <v>47.2</v>
      </c>
      <c r="E13" s="3" t="n">
        <v>52.8</v>
      </c>
      <c r="F13" s="3" t="n">
        <v>45.3</v>
      </c>
      <c r="G13" s="3" t="n">
        <v>54.7</v>
      </c>
      <c r="H13" s="3" t="n">
        <f aca="false">F13-D13</f>
        <v>-1.90000000000001</v>
      </c>
      <c r="I13" s="3" t="n">
        <f aca="false">G13-E13</f>
        <v>1.90000000000001</v>
      </c>
      <c r="J13" s="2" t="str">
        <f aca="false">IF(E13&gt;D13,"Mulheres","Homens")</f>
        <v>Mulheres</v>
      </c>
      <c r="K13" s="2" t="str">
        <f aca="false">IF(G13&gt;F13,"Mulheres","Homens")</f>
        <v>Mulheres</v>
      </c>
    </row>
    <row r="14" customFormat="false" ht="15" hidden="false" customHeight="false" outlineLevel="0" collapsed="false">
      <c r="A14" s="2" t="s">
        <v>35</v>
      </c>
      <c r="B14" s="2" t="n">
        <v>51</v>
      </c>
      <c r="C14" s="2" t="s">
        <v>36</v>
      </c>
      <c r="D14" s="3" t="n">
        <v>44.1</v>
      </c>
      <c r="E14" s="3" t="n">
        <v>55.9</v>
      </c>
      <c r="F14" s="3" t="n">
        <v>42.8</v>
      </c>
      <c r="G14" s="3" t="n">
        <v>57.2</v>
      </c>
      <c r="H14" s="3" t="n">
        <f aca="false">F14-D14</f>
        <v>-1.3</v>
      </c>
      <c r="I14" s="3" t="n">
        <f aca="false">G14-E14</f>
        <v>1.3</v>
      </c>
      <c r="J14" s="2" t="str">
        <f aca="false">IF(E14&gt;D14,"Mulheres","Homens")</f>
        <v>Mulheres</v>
      </c>
      <c r="K14" s="2" t="str">
        <f aca="false">IF(G14&gt;F14,"Mulheres","Homens")</f>
        <v>Mulheres</v>
      </c>
    </row>
    <row r="15" customFormat="false" ht="15" hidden="false" customHeight="false" outlineLevel="0" collapsed="false">
      <c r="A15" s="2" t="s">
        <v>37</v>
      </c>
      <c r="B15" s="2" t="n">
        <v>15</v>
      </c>
      <c r="C15" s="2" t="s">
        <v>38</v>
      </c>
      <c r="D15" s="3" t="n">
        <v>43.2</v>
      </c>
      <c r="E15" s="3" t="n">
        <v>56.8</v>
      </c>
      <c r="F15" s="3" t="n">
        <v>48.3</v>
      </c>
      <c r="G15" s="3" t="n">
        <v>51.7</v>
      </c>
      <c r="H15" s="3" t="n">
        <f aca="false">F15-D15</f>
        <v>5.09999999999999</v>
      </c>
      <c r="I15" s="3" t="n">
        <f aca="false">G15-E15</f>
        <v>-5.09999999999999</v>
      </c>
      <c r="J15" s="2" t="str">
        <f aca="false">IF(E15&gt;D15,"Mulheres","Homens")</f>
        <v>Mulheres</v>
      </c>
      <c r="K15" s="2" t="str">
        <f aca="false">IF(G15&gt;F15,"Mulheres","Homens")</f>
        <v>Mulheres</v>
      </c>
    </row>
    <row r="16" customFormat="false" ht="15" hidden="false" customHeight="false" outlineLevel="0" collapsed="false">
      <c r="A16" s="2" t="s">
        <v>39</v>
      </c>
      <c r="B16" s="2" t="n">
        <v>25</v>
      </c>
      <c r="C16" s="2" t="s">
        <v>40</v>
      </c>
      <c r="D16" s="3" t="n">
        <v>44.4</v>
      </c>
      <c r="E16" s="3" t="n">
        <v>55.6</v>
      </c>
      <c r="F16" s="3" t="n">
        <v>48.9</v>
      </c>
      <c r="G16" s="3" t="n">
        <v>51.1</v>
      </c>
      <c r="H16" s="3" t="n">
        <f aca="false">F16-D16</f>
        <v>4.5</v>
      </c>
      <c r="I16" s="3" t="n">
        <f aca="false">G16-E16</f>
        <v>-4.5</v>
      </c>
      <c r="J16" s="2" t="str">
        <f aca="false">IF(E16&gt;D16,"Mulheres","Homens")</f>
        <v>Mulheres</v>
      </c>
      <c r="K16" s="2" t="str">
        <f aca="false">IF(G16&gt;F16,"Mulheres","Homens")</f>
        <v>Mulheres</v>
      </c>
    </row>
    <row r="17" customFormat="false" ht="15" hidden="false" customHeight="false" outlineLevel="0" collapsed="false">
      <c r="A17" s="2" t="s">
        <v>41</v>
      </c>
      <c r="B17" s="2" t="n">
        <v>26</v>
      </c>
      <c r="C17" s="2" t="s">
        <v>42</v>
      </c>
      <c r="D17" s="3" t="n">
        <v>43.9</v>
      </c>
      <c r="E17" s="3" t="n">
        <v>56.1</v>
      </c>
      <c r="F17" s="3" t="n">
        <v>48.7</v>
      </c>
      <c r="G17" s="3" t="n">
        <v>51.3</v>
      </c>
      <c r="H17" s="3" t="n">
        <f aca="false">F17-D17</f>
        <v>4.8</v>
      </c>
      <c r="I17" s="3" t="n">
        <f aca="false">G17-E17</f>
        <v>-4.8</v>
      </c>
      <c r="J17" s="2" t="str">
        <f aca="false">IF(E17&gt;D17,"Mulheres","Homens")</f>
        <v>Mulheres</v>
      </c>
      <c r="K17" s="2" t="str">
        <f aca="false">IF(G17&gt;F17,"Mulheres","Homens")</f>
        <v>Mulheres</v>
      </c>
    </row>
    <row r="18" customFormat="false" ht="15" hidden="false" customHeight="false" outlineLevel="0" collapsed="false">
      <c r="A18" s="2" t="s">
        <v>43</v>
      </c>
      <c r="B18" s="2" t="n">
        <v>22</v>
      </c>
      <c r="C18" s="2" t="s">
        <v>44</v>
      </c>
      <c r="D18" s="3" t="n">
        <v>51.2</v>
      </c>
      <c r="E18" s="3" t="n">
        <v>48.8</v>
      </c>
      <c r="F18" s="3" t="n">
        <v>55.1</v>
      </c>
      <c r="G18" s="3" t="n">
        <v>44.9</v>
      </c>
      <c r="H18" s="3" t="n">
        <f aca="false">F18-D18</f>
        <v>3.9</v>
      </c>
      <c r="I18" s="3" t="n">
        <f aca="false">G18-E18</f>
        <v>-3.9</v>
      </c>
      <c r="J18" s="2" t="str">
        <f aca="false">IF(E18&gt;D18,"Mulheres","Homens")</f>
        <v>Homens</v>
      </c>
      <c r="K18" s="2" t="str">
        <f aca="false">IF(G18&gt;F18,"Mulheres","Homens")</f>
        <v>Homens</v>
      </c>
    </row>
    <row r="19" customFormat="false" ht="15" hidden="false" customHeight="false" outlineLevel="0" collapsed="false">
      <c r="A19" s="2" t="s">
        <v>45</v>
      </c>
      <c r="B19" s="2" t="n">
        <v>41</v>
      </c>
      <c r="C19" s="2" t="s">
        <v>46</v>
      </c>
      <c r="D19" s="3" t="n">
        <v>40.3</v>
      </c>
      <c r="E19" s="3" t="n">
        <v>59.7</v>
      </c>
      <c r="F19" s="3" t="n">
        <v>46.3</v>
      </c>
      <c r="G19" s="3" t="n">
        <v>53.7</v>
      </c>
      <c r="H19" s="3" t="n">
        <f aca="false">F19-D19</f>
        <v>6</v>
      </c>
      <c r="I19" s="3" t="n">
        <f aca="false">G19-E19</f>
        <v>-6</v>
      </c>
      <c r="J19" s="2" t="str">
        <f aca="false">IF(E19&gt;D19,"Mulheres","Homens")</f>
        <v>Mulheres</v>
      </c>
      <c r="K19" s="2" t="str">
        <f aca="false">IF(G19&gt;F19,"Mulheres","Homens")</f>
        <v>Mulheres</v>
      </c>
    </row>
    <row r="20" customFormat="false" ht="15" hidden="false" customHeight="false" outlineLevel="0" collapsed="false">
      <c r="A20" s="2" t="s">
        <v>47</v>
      </c>
      <c r="B20" s="2" t="n">
        <v>33</v>
      </c>
      <c r="C20" s="2" t="s">
        <v>48</v>
      </c>
      <c r="D20" s="3" t="n">
        <v>44.2</v>
      </c>
      <c r="E20" s="3" t="n">
        <v>55.8</v>
      </c>
      <c r="F20" s="3" t="n">
        <v>45.4</v>
      </c>
      <c r="G20" s="3" t="n">
        <v>54.6</v>
      </c>
      <c r="H20" s="3" t="n">
        <f aca="false">F20-D20</f>
        <v>1.2</v>
      </c>
      <c r="I20" s="3" t="n">
        <f aca="false">G20-E20</f>
        <v>-1.2</v>
      </c>
      <c r="J20" s="2" t="str">
        <f aca="false">IF(E20&gt;D20,"Mulheres","Homens")</f>
        <v>Mulheres</v>
      </c>
      <c r="K20" s="2" t="str">
        <f aca="false">IF(G20&gt;F20,"Mulheres","Homens")</f>
        <v>Mulheres</v>
      </c>
    </row>
    <row r="21" customFormat="false" ht="15" hidden="false" customHeight="false" outlineLevel="0" collapsed="false">
      <c r="A21" s="2" t="s">
        <v>49</v>
      </c>
      <c r="B21" s="2" t="n">
        <v>24</v>
      </c>
      <c r="C21" s="2" t="s">
        <v>50</v>
      </c>
      <c r="D21" s="3" t="n">
        <v>51</v>
      </c>
      <c r="E21" s="3" t="n">
        <v>49</v>
      </c>
      <c r="F21" s="3" t="n">
        <v>48.2</v>
      </c>
      <c r="G21" s="3" t="n">
        <v>51.8</v>
      </c>
      <c r="H21" s="3" t="n">
        <f aca="false">F21-D21</f>
        <v>-2.8</v>
      </c>
      <c r="I21" s="3" t="n">
        <f aca="false">G21-E21</f>
        <v>2.8</v>
      </c>
      <c r="J21" s="2" t="str">
        <f aca="false">IF(E21&gt;D21,"Mulheres","Homens")</f>
        <v>Homens</v>
      </c>
      <c r="K21" s="2" t="str">
        <f aca="false">IF(G21&gt;F21,"Mulheres","Homens")</f>
        <v>Mulheres</v>
      </c>
    </row>
    <row r="22" customFormat="false" ht="15" hidden="false" customHeight="false" outlineLevel="0" collapsed="false">
      <c r="A22" s="2" t="s">
        <v>51</v>
      </c>
      <c r="B22" s="2" t="n">
        <v>11</v>
      </c>
      <c r="C22" s="2" t="s">
        <v>52</v>
      </c>
      <c r="D22" s="3" t="n">
        <v>43.4</v>
      </c>
      <c r="E22" s="3" t="n">
        <v>56.6</v>
      </c>
      <c r="F22" s="3" t="n">
        <v>33</v>
      </c>
      <c r="G22" s="3" t="n">
        <v>67</v>
      </c>
      <c r="H22" s="3" t="n">
        <f aca="false">F22-D22</f>
        <v>-10.4</v>
      </c>
      <c r="I22" s="3" t="n">
        <f aca="false">G22-E22</f>
        <v>10.4</v>
      </c>
      <c r="J22" s="2" t="str">
        <f aca="false">IF(E22&gt;D22,"Mulheres","Homens")</f>
        <v>Mulheres</v>
      </c>
      <c r="K22" s="2" t="str">
        <f aca="false">IF(G22&gt;F22,"Mulheres","Homens")</f>
        <v>Mulheres</v>
      </c>
    </row>
    <row r="23" customFormat="false" ht="15" hidden="false" customHeight="false" outlineLevel="0" collapsed="false">
      <c r="A23" s="2" t="s">
        <v>53</v>
      </c>
      <c r="B23" s="2" t="n">
        <v>14</v>
      </c>
      <c r="C23" s="2" t="s">
        <v>54</v>
      </c>
      <c r="D23" s="3" t="n">
        <v>41.8</v>
      </c>
      <c r="E23" s="3" t="n">
        <v>58.2</v>
      </c>
      <c r="F23" s="3" t="n">
        <v>43.4</v>
      </c>
      <c r="G23" s="3" t="n">
        <v>56.6</v>
      </c>
      <c r="H23" s="3" t="n">
        <f aca="false">F23-D23</f>
        <v>1.6</v>
      </c>
      <c r="I23" s="3" t="n">
        <f aca="false">G23-E23</f>
        <v>-1.6</v>
      </c>
      <c r="J23" s="2" t="str">
        <f aca="false">IF(E23&gt;D23,"Mulheres","Homens")</f>
        <v>Mulheres</v>
      </c>
      <c r="K23" s="2" t="str">
        <f aca="false">IF(G23&gt;F23,"Mulheres","Homens")</f>
        <v>Mulheres</v>
      </c>
    </row>
    <row r="24" customFormat="false" ht="15" hidden="false" customHeight="false" outlineLevel="0" collapsed="false">
      <c r="A24" s="2" t="s">
        <v>55</v>
      </c>
      <c r="B24" s="2" t="n">
        <v>43</v>
      </c>
      <c r="C24" s="2" t="s">
        <v>56</v>
      </c>
      <c r="D24" s="3" t="n">
        <v>42.8</v>
      </c>
      <c r="E24" s="3" t="n">
        <v>57.2</v>
      </c>
      <c r="F24" s="3" t="n">
        <v>47.4</v>
      </c>
      <c r="G24" s="3" t="n">
        <v>52.6</v>
      </c>
      <c r="H24" s="3" t="n">
        <f aca="false">F24-D24</f>
        <v>4.6</v>
      </c>
      <c r="I24" s="3" t="n">
        <f aca="false">G24-E24</f>
        <v>-4.6</v>
      </c>
      <c r="J24" s="2" t="str">
        <f aca="false">IF(E24&gt;D24,"Mulheres","Homens")</f>
        <v>Mulheres</v>
      </c>
      <c r="K24" s="2" t="str">
        <f aca="false">IF(G24&gt;F24,"Mulheres","Homens")</f>
        <v>Mulheres</v>
      </c>
    </row>
    <row r="25" customFormat="false" ht="15" hidden="false" customHeight="false" outlineLevel="0" collapsed="false">
      <c r="A25" s="2" t="s">
        <v>57</v>
      </c>
      <c r="B25" s="2" t="n">
        <v>42</v>
      </c>
      <c r="C25" s="2" t="s">
        <v>58</v>
      </c>
      <c r="D25" s="3" t="n">
        <v>42.7</v>
      </c>
      <c r="E25" s="3" t="n">
        <v>57.3</v>
      </c>
      <c r="F25" s="3" t="n">
        <v>44.6</v>
      </c>
      <c r="G25" s="3" t="n">
        <v>55.4</v>
      </c>
      <c r="H25" s="3" t="n">
        <f aca="false">F25-D25</f>
        <v>1.9</v>
      </c>
      <c r="I25" s="3" t="n">
        <f aca="false">G25-E25</f>
        <v>-1.9</v>
      </c>
      <c r="J25" s="2" t="str">
        <f aca="false">IF(E25&gt;D25,"Mulheres","Homens")</f>
        <v>Mulheres</v>
      </c>
      <c r="K25" s="2" t="str">
        <f aca="false">IF(G25&gt;F25,"Mulheres","Homens")</f>
        <v>Mulheres</v>
      </c>
    </row>
    <row r="26" customFormat="false" ht="15" hidden="false" customHeight="false" outlineLevel="0" collapsed="false">
      <c r="A26" s="2" t="s">
        <v>59</v>
      </c>
      <c r="B26" s="2" t="n">
        <v>28</v>
      </c>
      <c r="C26" s="2" t="s">
        <v>60</v>
      </c>
      <c r="D26" s="3" t="n">
        <v>46.5</v>
      </c>
      <c r="E26" s="3" t="n">
        <v>53.5</v>
      </c>
      <c r="F26" s="3" t="n">
        <v>40.3</v>
      </c>
      <c r="G26" s="3" t="n">
        <v>59.7</v>
      </c>
      <c r="H26" s="3" t="n">
        <f aca="false">F26-D26</f>
        <v>-6.2</v>
      </c>
      <c r="I26" s="3" t="n">
        <f aca="false">G26-E26</f>
        <v>6.2</v>
      </c>
      <c r="J26" s="2" t="str">
        <f aca="false">IF(E26&gt;D26,"Mulheres","Homens")</f>
        <v>Mulheres</v>
      </c>
      <c r="K26" s="2" t="str">
        <f aca="false">IF(G26&gt;F26,"Mulheres","Homens")</f>
        <v>Mulheres</v>
      </c>
    </row>
    <row r="27" customFormat="false" ht="15" hidden="false" customHeight="false" outlineLevel="0" collapsed="false">
      <c r="A27" s="2" t="s">
        <v>61</v>
      </c>
      <c r="B27" s="2" t="n">
        <v>35</v>
      </c>
      <c r="C27" s="2" t="s">
        <v>62</v>
      </c>
      <c r="D27" s="3" t="n">
        <v>45.4</v>
      </c>
      <c r="E27" s="3" t="n">
        <v>54.6</v>
      </c>
      <c r="F27" s="3" t="n">
        <v>46.2</v>
      </c>
      <c r="G27" s="3" t="n">
        <v>53.8</v>
      </c>
      <c r="H27" s="3" t="n">
        <f aca="false">F27-D27</f>
        <v>0.800000000000004</v>
      </c>
      <c r="I27" s="3" t="n">
        <f aca="false">G27-E27</f>
        <v>-0.800000000000004</v>
      </c>
      <c r="J27" s="2" t="str">
        <f aca="false">IF(E27&gt;D27,"Mulheres","Homens")</f>
        <v>Mulheres</v>
      </c>
      <c r="K27" s="2" t="str">
        <f aca="false">IF(G27&gt;F27,"Mulheres","Homens")</f>
        <v>Mulheres</v>
      </c>
    </row>
    <row r="28" customFormat="false" ht="15" hidden="false" customHeight="false" outlineLevel="0" collapsed="false">
      <c r="A28" s="2" t="s">
        <v>63</v>
      </c>
      <c r="B28" s="2" t="n">
        <v>17</v>
      </c>
      <c r="C28" s="2" t="s">
        <v>64</v>
      </c>
      <c r="D28" s="3" t="n">
        <v>55.3</v>
      </c>
      <c r="E28" s="3" t="n">
        <v>44.7</v>
      </c>
      <c r="F28" s="3" t="n">
        <v>46.2</v>
      </c>
      <c r="G28" s="3" t="n">
        <v>53.8</v>
      </c>
      <c r="H28" s="3" t="n">
        <f aca="false">F28-D28</f>
        <v>-9.09999999999999</v>
      </c>
      <c r="I28" s="3" t="n">
        <f aca="false">G28-E28</f>
        <v>9.09999999999999</v>
      </c>
      <c r="J28" s="2" t="str">
        <f aca="false">IF(E28&gt;D28,"Mulheres","Homens")</f>
        <v>Homens</v>
      </c>
      <c r="K28" s="2" t="str">
        <f aca="false">IF(G28&gt;F28,"Mulheres","Homens")</f>
        <v>Mulheres</v>
      </c>
    </row>
    <row r="29" customFormat="false" ht="15" hidden="false" customHeight="false" outlineLevel="0" collapsed="false">
      <c r="A29" s="2"/>
      <c r="B29" s="2"/>
      <c r="C29" s="4" t="s">
        <v>65</v>
      </c>
      <c r="D29" s="3" t="n">
        <f aca="false">AVERAGE(D2:D28)</f>
        <v>45.4296296296296</v>
      </c>
      <c r="E29" s="3" t="n">
        <f aca="false">AVERAGE(E2:E28)</f>
        <v>54.5703703703704</v>
      </c>
      <c r="F29" s="3" t="n">
        <f aca="false">AVERAGE(F2:F28)</f>
        <v>47.0333333333333</v>
      </c>
      <c r="G29" s="3" t="n">
        <f aca="false">AVERAGE(G2:G28)</f>
        <v>52.9666666666667</v>
      </c>
      <c r="H29" s="3" t="n">
        <f aca="false">AVERAGE(H2:H28)</f>
        <v>1.6037037037037</v>
      </c>
      <c r="I29" s="3" t="n">
        <f aca="false">AVERAGE(I2:I28)</f>
        <v>-1.6037037037037</v>
      </c>
      <c r="J29" s="2"/>
      <c r="K29" s="2"/>
    </row>
    <row r="30" customFormat="false" ht="15" hidden="false" customHeight="false" outlineLevel="0" collapsed="false">
      <c r="A30" s="2"/>
      <c r="B30" s="2"/>
      <c r="C30" s="4" t="s">
        <v>66</v>
      </c>
      <c r="D30" s="2"/>
      <c r="E30" s="2"/>
      <c r="F30" s="2"/>
      <c r="G30" s="2"/>
      <c r="H30" s="2"/>
      <c r="I30" s="2"/>
      <c r="J30" s="2" t="n">
        <f aca="false">COUNTIF(J2:J28,"Mulheres")</f>
        <v>23</v>
      </c>
      <c r="K30" s="2" t="n">
        <f aca="false">COUNTIF(K2:K28,"Mulheres")</f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2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67</v>
      </c>
      <c r="M1" s="1" t="s">
        <v>68</v>
      </c>
      <c r="N1" s="1" t="s">
        <v>69</v>
      </c>
      <c r="O1" s="1" t="s">
        <v>70</v>
      </c>
    </row>
    <row r="2" customFormat="false" ht="15" hidden="false" customHeight="false" outlineLevel="0" collapsed="false">
      <c r="A2" s="2" t="s">
        <v>11</v>
      </c>
      <c r="B2" s="2" t="n">
        <v>12</v>
      </c>
      <c r="C2" s="2" t="s">
        <v>12</v>
      </c>
      <c r="D2" s="5" t="n">
        <v>45.3</v>
      </c>
      <c r="E2" s="5" t="n">
        <v>54.7</v>
      </c>
      <c r="F2" s="5" t="n">
        <v>53.2</v>
      </c>
      <c r="G2" s="5" t="n">
        <v>46.8</v>
      </c>
      <c r="H2" s="5" t="n">
        <v>7.9</v>
      </c>
      <c r="I2" s="5" t="n">
        <v>-7.9</v>
      </c>
      <c r="J2" s="2" t="s">
        <v>71</v>
      </c>
      <c r="K2" s="2" t="s">
        <v>72</v>
      </c>
      <c r="L2" s="5" t="n">
        <v>13.61</v>
      </c>
      <c r="M2" s="5" t="n">
        <v>10.24</v>
      </c>
      <c r="N2" s="5" t="n">
        <v>16.42</v>
      </c>
      <c r="O2" s="5" t="n">
        <v>6.18</v>
      </c>
    </row>
    <row r="3" customFormat="false" ht="15" hidden="false" customHeight="false" outlineLevel="0" collapsed="false">
      <c r="A3" s="2" t="s">
        <v>13</v>
      </c>
      <c r="B3" s="2" t="n">
        <v>27</v>
      </c>
      <c r="C3" s="2" t="s">
        <v>14</v>
      </c>
      <c r="D3" s="5" t="n">
        <v>44.7</v>
      </c>
      <c r="E3" s="5" t="n">
        <v>55.3</v>
      </c>
      <c r="F3" s="5" t="n">
        <v>50.7</v>
      </c>
      <c r="G3" s="5" t="n">
        <v>49.3</v>
      </c>
      <c r="H3" s="5" t="n">
        <v>6</v>
      </c>
      <c r="I3" s="5" t="n">
        <v>-6</v>
      </c>
      <c r="J3" s="2" t="s">
        <v>71</v>
      </c>
      <c r="K3" s="2" t="s">
        <v>72</v>
      </c>
      <c r="L3" s="5" t="n">
        <v>20.22</v>
      </c>
      <c r="M3" s="5" t="n">
        <v>12.74</v>
      </c>
      <c r="N3" s="5" t="n">
        <v>24.98</v>
      </c>
      <c r="O3" s="5" t="n">
        <v>12.24</v>
      </c>
    </row>
    <row r="4" customFormat="false" ht="15" hidden="false" customHeight="false" outlineLevel="0" collapsed="false">
      <c r="A4" s="2" t="s">
        <v>15</v>
      </c>
      <c r="B4" s="2" t="n">
        <v>13</v>
      </c>
      <c r="C4" s="2" t="s">
        <v>16</v>
      </c>
      <c r="D4" s="5" t="n">
        <v>47.5</v>
      </c>
      <c r="E4" s="5" t="n">
        <v>52.5</v>
      </c>
      <c r="F4" s="5" t="n">
        <v>46.8</v>
      </c>
      <c r="G4" s="5" t="n">
        <v>53.2</v>
      </c>
      <c r="H4" s="5" t="n">
        <v>-0.7</v>
      </c>
      <c r="I4" s="5" t="n">
        <v>0.7</v>
      </c>
      <c r="J4" s="2" t="s">
        <v>71</v>
      </c>
      <c r="K4" s="2" t="s">
        <v>71</v>
      </c>
      <c r="L4" s="5" t="n">
        <v>16.81</v>
      </c>
      <c r="M4" s="5" t="n">
        <v>12.53</v>
      </c>
      <c r="N4" s="5" t="n">
        <v>19.74</v>
      </c>
      <c r="O4" s="5" t="n">
        <v>7.21</v>
      </c>
    </row>
    <row r="5" customFormat="false" ht="15" hidden="false" customHeight="false" outlineLevel="0" collapsed="false">
      <c r="A5" s="2" t="s">
        <v>17</v>
      </c>
      <c r="B5" s="2" t="n">
        <v>16</v>
      </c>
      <c r="C5" s="2" t="s">
        <v>18</v>
      </c>
      <c r="D5" s="5" t="n">
        <v>48.1</v>
      </c>
      <c r="E5" s="5" t="n">
        <v>51.9</v>
      </c>
      <c r="F5" s="5" t="n">
        <v>51.1</v>
      </c>
      <c r="G5" s="5" t="n">
        <v>48.9</v>
      </c>
      <c r="H5" s="5" t="n">
        <v>3</v>
      </c>
      <c r="I5" s="5" t="n">
        <v>-3</v>
      </c>
      <c r="J5" s="2" t="s">
        <v>71</v>
      </c>
      <c r="K5" s="2" t="s">
        <v>72</v>
      </c>
      <c r="L5" s="5" t="n">
        <v>13.59</v>
      </c>
      <c r="M5" s="5" t="n">
        <v>10.93</v>
      </c>
      <c r="N5" s="5" t="n">
        <v>16.28</v>
      </c>
      <c r="O5" s="5" t="n">
        <v>5.35</v>
      </c>
    </row>
    <row r="6" customFormat="false" ht="15" hidden="false" customHeight="false" outlineLevel="0" collapsed="false">
      <c r="A6" s="2" t="s">
        <v>19</v>
      </c>
      <c r="B6" s="2" t="n">
        <v>29</v>
      </c>
      <c r="C6" s="2" t="s">
        <v>20</v>
      </c>
      <c r="D6" s="5" t="n">
        <v>43.8</v>
      </c>
      <c r="E6" s="5" t="n">
        <v>56.2</v>
      </c>
      <c r="F6" s="5" t="n">
        <v>44.7</v>
      </c>
      <c r="G6" s="5" t="n">
        <v>55.3</v>
      </c>
      <c r="H6" s="5" t="n">
        <v>0.9</v>
      </c>
      <c r="I6" s="5" t="n">
        <v>-0.9</v>
      </c>
      <c r="J6" s="2" t="s">
        <v>71</v>
      </c>
      <c r="K6" s="2" t="s">
        <v>71</v>
      </c>
      <c r="L6" s="5" t="n">
        <v>17.85</v>
      </c>
      <c r="M6" s="5" t="n">
        <v>10.77</v>
      </c>
      <c r="N6" s="5" t="n">
        <v>22.89</v>
      </c>
      <c r="O6" s="5" t="n">
        <v>12.13</v>
      </c>
    </row>
    <row r="7" customFormat="false" ht="15" hidden="false" customHeight="false" outlineLevel="0" collapsed="false">
      <c r="A7" s="2" t="s">
        <v>21</v>
      </c>
      <c r="B7" s="2" t="n">
        <v>23</v>
      </c>
      <c r="C7" s="2" t="s">
        <v>22</v>
      </c>
      <c r="D7" s="5" t="n">
        <v>51.1</v>
      </c>
      <c r="E7" s="5" t="n">
        <v>48.9</v>
      </c>
      <c r="F7" s="5" t="n">
        <v>52.7</v>
      </c>
      <c r="G7" s="5" t="n">
        <v>47.3</v>
      </c>
      <c r="H7" s="5" t="n">
        <v>1.6</v>
      </c>
      <c r="I7" s="5" t="n">
        <v>-1.6</v>
      </c>
      <c r="J7" s="2" t="s">
        <v>72</v>
      </c>
      <c r="K7" s="2" t="s">
        <v>72</v>
      </c>
      <c r="L7" s="5" t="n">
        <v>19.5</v>
      </c>
      <c r="M7" s="5" t="n">
        <v>12.5</v>
      </c>
      <c r="N7" s="5" t="n">
        <v>23.99</v>
      </c>
      <c r="O7" s="5" t="n">
        <v>11.48</v>
      </c>
    </row>
    <row r="8" customFormat="false" ht="15" hidden="false" customHeight="false" outlineLevel="0" collapsed="false">
      <c r="A8" s="2" t="s">
        <v>23</v>
      </c>
      <c r="B8" s="2" t="n">
        <v>53</v>
      </c>
      <c r="C8" s="2" t="s">
        <v>24</v>
      </c>
      <c r="D8" s="5" t="n">
        <v>41</v>
      </c>
      <c r="E8" s="5" t="n">
        <v>59</v>
      </c>
      <c r="F8" s="5" t="n">
        <v>47.9</v>
      </c>
      <c r="G8" s="5" t="n">
        <v>52.1</v>
      </c>
      <c r="H8" s="5" t="n">
        <v>6.9</v>
      </c>
      <c r="I8" s="5" t="n">
        <v>-6.9</v>
      </c>
      <c r="J8" s="2" t="s">
        <v>71</v>
      </c>
      <c r="K8" s="2" t="s">
        <v>71</v>
      </c>
      <c r="L8" s="5" t="n">
        <v>15.1</v>
      </c>
      <c r="M8" s="5" t="n">
        <v>10.93</v>
      </c>
      <c r="N8" s="5" t="n">
        <v>18.52</v>
      </c>
      <c r="O8" s="5" t="n">
        <v>7.59</v>
      </c>
    </row>
    <row r="9" customFormat="false" ht="15" hidden="false" customHeight="false" outlineLevel="0" collapsed="false">
      <c r="A9" s="2" t="s">
        <v>25</v>
      </c>
      <c r="B9" s="2" t="n">
        <v>32</v>
      </c>
      <c r="C9" s="2" t="s">
        <v>26</v>
      </c>
      <c r="D9" s="5" t="n">
        <v>46.4</v>
      </c>
      <c r="E9" s="5" t="n">
        <v>53.6</v>
      </c>
      <c r="F9" s="5" t="n">
        <v>47.5</v>
      </c>
      <c r="G9" s="5" t="n">
        <v>52.5</v>
      </c>
      <c r="H9" s="5" t="n">
        <v>1.1</v>
      </c>
      <c r="I9" s="5" t="n">
        <v>-1.1</v>
      </c>
      <c r="J9" s="2" t="s">
        <v>71</v>
      </c>
      <c r="K9" s="2" t="s">
        <v>71</v>
      </c>
      <c r="L9" s="5" t="n">
        <v>17.11</v>
      </c>
      <c r="M9" s="5" t="n">
        <v>11.91</v>
      </c>
      <c r="N9" s="5" t="n">
        <v>21.33</v>
      </c>
      <c r="O9" s="5" t="n">
        <v>9.42</v>
      </c>
    </row>
    <row r="10" customFormat="false" ht="15" hidden="false" customHeight="false" outlineLevel="0" collapsed="false">
      <c r="A10" s="2" t="s">
        <v>27</v>
      </c>
      <c r="B10" s="2" t="n">
        <v>52</v>
      </c>
      <c r="C10" s="2" t="s">
        <v>28</v>
      </c>
      <c r="D10" s="5" t="n">
        <v>41</v>
      </c>
      <c r="E10" s="5" t="n">
        <v>59</v>
      </c>
      <c r="F10" s="5" t="n">
        <v>47.5</v>
      </c>
      <c r="G10" s="5" t="n">
        <v>52.5</v>
      </c>
      <c r="H10" s="5" t="n">
        <v>6.5</v>
      </c>
      <c r="I10" s="5" t="n">
        <v>-6.5</v>
      </c>
      <c r="J10" s="2" t="s">
        <v>71</v>
      </c>
      <c r="K10" s="2" t="s">
        <v>71</v>
      </c>
      <c r="L10" s="5" t="n">
        <v>15.19</v>
      </c>
      <c r="M10" s="5" t="n">
        <v>10.58</v>
      </c>
      <c r="N10" s="5" t="n">
        <v>19.01</v>
      </c>
      <c r="O10" s="5" t="n">
        <v>8.43</v>
      </c>
    </row>
    <row r="11" customFormat="false" ht="15" hidden="false" customHeight="false" outlineLevel="0" collapsed="false">
      <c r="A11" s="2" t="s">
        <v>29</v>
      </c>
      <c r="B11" s="2" t="n">
        <v>21</v>
      </c>
      <c r="C11" s="2" t="s">
        <v>30</v>
      </c>
      <c r="D11" s="5" t="n">
        <v>47.2</v>
      </c>
      <c r="E11" s="5" t="n">
        <v>52.8</v>
      </c>
      <c r="F11" s="5" t="n">
        <v>49.1</v>
      </c>
      <c r="G11" s="5" t="n">
        <v>50.9</v>
      </c>
      <c r="H11" s="5" t="n">
        <v>1.9</v>
      </c>
      <c r="I11" s="5" t="n">
        <v>-1.9</v>
      </c>
      <c r="J11" s="2" t="s">
        <v>71</v>
      </c>
      <c r="K11" s="2" t="s">
        <v>71</v>
      </c>
      <c r="L11" s="5" t="n">
        <v>16.67</v>
      </c>
      <c r="M11" s="5" t="n">
        <v>11.55</v>
      </c>
      <c r="N11" s="5" t="n">
        <v>20.31</v>
      </c>
      <c r="O11" s="5" t="n">
        <v>8.76</v>
      </c>
    </row>
    <row r="12" customFormat="false" ht="15" hidden="false" customHeight="false" outlineLevel="0" collapsed="false">
      <c r="A12" s="2" t="s">
        <v>31</v>
      </c>
      <c r="B12" s="2" t="n">
        <v>31</v>
      </c>
      <c r="C12" s="2" t="s">
        <v>32</v>
      </c>
      <c r="D12" s="5" t="n">
        <v>43.1</v>
      </c>
      <c r="E12" s="5" t="n">
        <v>56.9</v>
      </c>
      <c r="F12" s="5" t="n">
        <v>48.6</v>
      </c>
      <c r="G12" s="5" t="n">
        <v>51.4</v>
      </c>
      <c r="H12" s="5" t="n">
        <v>5.5</v>
      </c>
      <c r="I12" s="5" t="n">
        <v>-5.5</v>
      </c>
      <c r="J12" s="2" t="s">
        <v>71</v>
      </c>
      <c r="K12" s="2" t="s">
        <v>71</v>
      </c>
      <c r="L12" s="5" t="n">
        <v>17.5</v>
      </c>
      <c r="M12" s="5" t="n">
        <v>11.47</v>
      </c>
      <c r="N12" s="5" t="n">
        <v>22.63</v>
      </c>
      <c r="O12" s="5" t="n">
        <v>11.16</v>
      </c>
    </row>
    <row r="13" customFormat="false" ht="15" hidden="false" customHeight="false" outlineLevel="0" collapsed="false">
      <c r="A13" s="2" t="s">
        <v>33</v>
      </c>
      <c r="B13" s="2" t="n">
        <v>50</v>
      </c>
      <c r="C13" s="2" t="s">
        <v>34</v>
      </c>
      <c r="D13" s="5" t="n">
        <v>47.2</v>
      </c>
      <c r="E13" s="5" t="n">
        <v>52.8</v>
      </c>
      <c r="F13" s="5" t="n">
        <v>45.3</v>
      </c>
      <c r="G13" s="5" t="n">
        <v>54.7</v>
      </c>
      <c r="H13" s="5" t="n">
        <v>-1.9</v>
      </c>
      <c r="I13" s="5" t="n">
        <v>1.9</v>
      </c>
      <c r="J13" s="2" t="s">
        <v>71</v>
      </c>
      <c r="K13" s="2" t="s">
        <v>71</v>
      </c>
      <c r="L13" s="5" t="n">
        <v>15.31</v>
      </c>
      <c r="M13" s="5" t="n">
        <v>10.79</v>
      </c>
      <c r="N13" s="5" t="n">
        <v>19.07</v>
      </c>
      <c r="O13" s="5" t="n">
        <v>8.28</v>
      </c>
    </row>
    <row r="14" customFormat="false" ht="15" hidden="false" customHeight="false" outlineLevel="0" collapsed="false">
      <c r="A14" s="2" t="s">
        <v>35</v>
      </c>
      <c r="B14" s="2" t="n">
        <v>51</v>
      </c>
      <c r="C14" s="2" t="s">
        <v>36</v>
      </c>
      <c r="D14" s="5" t="n">
        <v>44.1</v>
      </c>
      <c r="E14" s="5" t="n">
        <v>55.9</v>
      </c>
      <c r="F14" s="5" t="n">
        <v>42.8</v>
      </c>
      <c r="G14" s="5" t="n">
        <v>57.2</v>
      </c>
      <c r="H14" s="5" t="n">
        <v>-1.3</v>
      </c>
      <c r="I14" s="5" t="n">
        <v>1.3</v>
      </c>
      <c r="J14" s="2" t="s">
        <v>71</v>
      </c>
      <c r="K14" s="2" t="s">
        <v>71</v>
      </c>
      <c r="L14" s="5" t="n">
        <v>14.24</v>
      </c>
      <c r="M14" s="5" t="n">
        <v>9.37</v>
      </c>
      <c r="N14" s="5" t="n">
        <v>18.24</v>
      </c>
      <c r="O14" s="5" t="n">
        <v>8.87</v>
      </c>
    </row>
    <row r="15" customFormat="false" ht="15" hidden="false" customHeight="false" outlineLevel="0" collapsed="false">
      <c r="A15" s="2" t="s">
        <v>37</v>
      </c>
      <c r="B15" s="2" t="n">
        <v>15</v>
      </c>
      <c r="C15" s="2" t="s">
        <v>38</v>
      </c>
      <c r="D15" s="5" t="n">
        <v>43.2</v>
      </c>
      <c r="E15" s="5" t="n">
        <v>56.8</v>
      </c>
      <c r="F15" s="5" t="n">
        <v>48.3</v>
      </c>
      <c r="G15" s="5" t="n">
        <v>51.7</v>
      </c>
      <c r="H15" s="5" t="n">
        <v>5.1</v>
      </c>
      <c r="I15" s="5" t="n">
        <v>-5.1</v>
      </c>
      <c r="J15" s="2" t="s">
        <v>71</v>
      </c>
      <c r="K15" s="2" t="s">
        <v>71</v>
      </c>
      <c r="L15" s="5" t="n">
        <v>16.47</v>
      </c>
      <c r="M15" s="5" t="n">
        <v>11.28</v>
      </c>
      <c r="N15" s="5" t="n">
        <v>20.71</v>
      </c>
      <c r="O15" s="5" t="n">
        <v>9.44</v>
      </c>
    </row>
    <row r="16" customFormat="false" ht="15" hidden="false" customHeight="false" outlineLevel="0" collapsed="false">
      <c r="A16" s="2" t="s">
        <v>39</v>
      </c>
      <c r="B16" s="2" t="n">
        <v>25</v>
      </c>
      <c r="C16" s="2" t="s">
        <v>40</v>
      </c>
      <c r="D16" s="5" t="n">
        <v>44.4</v>
      </c>
      <c r="E16" s="5" t="n">
        <v>55.6</v>
      </c>
      <c r="F16" s="5" t="n">
        <v>48.9</v>
      </c>
      <c r="G16" s="5" t="n">
        <v>51.1</v>
      </c>
      <c r="H16" s="5" t="n">
        <v>4.5</v>
      </c>
      <c r="I16" s="5" t="n">
        <v>-4.5</v>
      </c>
      <c r="J16" s="2" t="s">
        <v>71</v>
      </c>
      <c r="K16" s="2" t="s">
        <v>71</v>
      </c>
      <c r="L16" s="5" t="n">
        <v>18.92</v>
      </c>
      <c r="M16" s="5" t="n">
        <v>12.44</v>
      </c>
      <c r="N16" s="5" t="n">
        <v>23.84</v>
      </c>
      <c r="O16" s="5" t="n">
        <v>11.4</v>
      </c>
    </row>
    <row r="17" customFormat="false" ht="15" hidden="false" customHeight="false" outlineLevel="0" collapsed="false">
      <c r="A17" s="2" t="s">
        <v>41</v>
      </c>
      <c r="B17" s="2" t="n">
        <v>26</v>
      </c>
      <c r="C17" s="2" t="s">
        <v>42</v>
      </c>
      <c r="D17" s="5" t="n">
        <v>43.9</v>
      </c>
      <c r="E17" s="5" t="n">
        <v>56.1</v>
      </c>
      <c r="F17" s="5" t="n">
        <v>48.7</v>
      </c>
      <c r="G17" s="5" t="n">
        <v>51.3</v>
      </c>
      <c r="H17" s="5" t="n">
        <v>4.8</v>
      </c>
      <c r="I17" s="5" t="n">
        <v>-4.8</v>
      </c>
      <c r="J17" s="2" t="s">
        <v>71</v>
      </c>
      <c r="K17" s="2" t="s">
        <v>71</v>
      </c>
      <c r="L17" s="5" t="n">
        <v>19.31</v>
      </c>
      <c r="M17" s="5" t="n">
        <v>12.59</v>
      </c>
      <c r="N17" s="5" t="n">
        <v>23.8</v>
      </c>
      <c r="O17" s="5" t="n">
        <v>11.21</v>
      </c>
    </row>
    <row r="18" customFormat="false" ht="15" hidden="false" customHeight="false" outlineLevel="0" collapsed="false">
      <c r="A18" s="2" t="s">
        <v>43</v>
      </c>
      <c r="B18" s="2" t="n">
        <v>22</v>
      </c>
      <c r="C18" s="2" t="s">
        <v>44</v>
      </c>
      <c r="D18" s="5" t="n">
        <v>51.2</v>
      </c>
      <c r="E18" s="5" t="n">
        <v>48.8</v>
      </c>
      <c r="F18" s="5" t="n">
        <v>55.1</v>
      </c>
      <c r="G18" s="5" t="n">
        <v>44.9</v>
      </c>
      <c r="H18" s="5" t="n">
        <v>3.9</v>
      </c>
      <c r="I18" s="5" t="n">
        <v>-3.9</v>
      </c>
      <c r="J18" s="2" t="s">
        <v>72</v>
      </c>
      <c r="K18" s="2" t="s">
        <v>72</v>
      </c>
      <c r="L18" s="5" t="n">
        <v>17.96</v>
      </c>
      <c r="M18" s="5" t="n">
        <v>11.73</v>
      </c>
      <c r="N18" s="5" t="n">
        <v>22.09</v>
      </c>
      <c r="O18" s="5" t="n">
        <v>10.36</v>
      </c>
    </row>
    <row r="19" customFormat="false" ht="15" hidden="false" customHeight="false" outlineLevel="0" collapsed="false">
      <c r="A19" s="2" t="s">
        <v>45</v>
      </c>
      <c r="B19" s="2" t="n">
        <v>41</v>
      </c>
      <c r="C19" s="2" t="s">
        <v>46</v>
      </c>
      <c r="D19" s="5" t="n">
        <v>40.3</v>
      </c>
      <c r="E19" s="5" t="n">
        <v>59.7</v>
      </c>
      <c r="F19" s="5" t="n">
        <v>46.3</v>
      </c>
      <c r="G19" s="5" t="n">
        <v>53.7</v>
      </c>
      <c r="H19" s="5" t="n">
        <v>6</v>
      </c>
      <c r="I19" s="5" t="n">
        <v>-6</v>
      </c>
      <c r="J19" s="2" t="s">
        <v>71</v>
      </c>
      <c r="K19" s="2" t="s">
        <v>71</v>
      </c>
      <c r="L19" s="5" t="n">
        <v>15.39</v>
      </c>
      <c r="M19" s="5" t="n">
        <v>11.03</v>
      </c>
      <c r="N19" s="5" t="n">
        <v>19.13</v>
      </c>
      <c r="O19" s="5" t="n">
        <v>8.1</v>
      </c>
    </row>
    <row r="20" customFormat="false" ht="15" hidden="false" customHeight="false" outlineLevel="0" collapsed="false">
      <c r="A20" s="2" t="s">
        <v>47</v>
      </c>
      <c r="B20" s="2" t="n">
        <v>33</v>
      </c>
      <c r="C20" s="2" t="s">
        <v>48</v>
      </c>
      <c r="D20" s="5" t="n">
        <v>44.2</v>
      </c>
      <c r="E20" s="5" t="n">
        <v>55.8</v>
      </c>
      <c r="F20" s="5" t="n">
        <v>45.4</v>
      </c>
      <c r="G20" s="5" t="n">
        <v>54.6</v>
      </c>
      <c r="H20" s="5" t="n">
        <v>1.2</v>
      </c>
      <c r="I20" s="5" t="n">
        <v>-1.2</v>
      </c>
      <c r="J20" s="2" t="s">
        <v>71</v>
      </c>
      <c r="K20" s="2" t="s">
        <v>71</v>
      </c>
      <c r="L20" s="5" t="n">
        <v>16.72</v>
      </c>
      <c r="M20" s="5" t="n">
        <v>12.43</v>
      </c>
      <c r="N20" s="5" t="n">
        <v>20.08</v>
      </c>
      <c r="O20" s="5" t="n">
        <v>7.65</v>
      </c>
    </row>
    <row r="21" customFormat="false" ht="15" hidden="false" customHeight="false" outlineLevel="0" collapsed="false">
      <c r="A21" s="2" t="s">
        <v>49</v>
      </c>
      <c r="B21" s="2" t="n">
        <v>24</v>
      </c>
      <c r="C21" s="2" t="s">
        <v>50</v>
      </c>
      <c r="D21" s="5" t="n">
        <v>51</v>
      </c>
      <c r="E21" s="5" t="n">
        <v>49</v>
      </c>
      <c r="F21" s="5" t="n">
        <v>48.2</v>
      </c>
      <c r="G21" s="5" t="n">
        <v>51.8</v>
      </c>
      <c r="H21" s="5" t="n">
        <v>-2.8</v>
      </c>
      <c r="I21" s="5" t="n">
        <v>2.8</v>
      </c>
      <c r="J21" s="2" t="s">
        <v>72</v>
      </c>
      <c r="K21" s="2" t="s">
        <v>71</v>
      </c>
      <c r="L21" s="5" t="n">
        <v>18.31</v>
      </c>
      <c r="M21" s="5" t="n">
        <v>11.13</v>
      </c>
      <c r="N21" s="5" t="n">
        <v>23.98</v>
      </c>
      <c r="O21" s="5" t="n">
        <v>12.86</v>
      </c>
    </row>
    <row r="22" customFormat="false" ht="15" hidden="false" customHeight="false" outlineLevel="0" collapsed="false">
      <c r="A22" s="2" t="s">
        <v>51</v>
      </c>
      <c r="B22" s="2" t="n">
        <v>11</v>
      </c>
      <c r="C22" s="2" t="s">
        <v>52</v>
      </c>
      <c r="D22" s="5" t="n">
        <v>43.4</v>
      </c>
      <c r="E22" s="5" t="n">
        <v>56.6</v>
      </c>
      <c r="F22" s="5" t="n">
        <v>33</v>
      </c>
      <c r="G22" s="5" t="n">
        <v>67</v>
      </c>
      <c r="H22" s="5" t="n">
        <v>-10.4</v>
      </c>
      <c r="I22" s="5" t="n">
        <v>10.4</v>
      </c>
      <c r="J22" s="2" t="s">
        <v>71</v>
      </c>
      <c r="K22" s="2" t="s">
        <v>71</v>
      </c>
      <c r="L22" s="5" t="n">
        <v>17.01</v>
      </c>
      <c r="M22" s="5" t="n">
        <v>12.33</v>
      </c>
      <c r="N22" s="5" t="n">
        <v>20.74</v>
      </c>
      <c r="O22" s="5" t="n">
        <v>8.41</v>
      </c>
    </row>
    <row r="23" customFormat="false" ht="15" hidden="false" customHeight="false" outlineLevel="0" collapsed="false">
      <c r="A23" s="2" t="s">
        <v>53</v>
      </c>
      <c r="B23" s="2" t="n">
        <v>14</v>
      </c>
      <c r="C23" s="2" t="s">
        <v>54</v>
      </c>
      <c r="D23" s="5" t="n">
        <v>41.8</v>
      </c>
      <c r="E23" s="5" t="n">
        <v>58.2</v>
      </c>
      <c r="F23" s="5" t="n">
        <v>43.4</v>
      </c>
      <c r="G23" s="5" t="n">
        <v>56.6</v>
      </c>
      <c r="H23" s="5" t="n">
        <v>1.6</v>
      </c>
      <c r="I23" s="5" t="n">
        <v>-1.6</v>
      </c>
      <c r="J23" s="2" t="s">
        <v>71</v>
      </c>
      <c r="K23" s="2" t="s">
        <v>71</v>
      </c>
      <c r="L23" s="5" t="n">
        <v>13.64</v>
      </c>
      <c r="M23" s="5" t="n">
        <v>10.65</v>
      </c>
      <c r="N23" s="5" t="n">
        <v>16.35</v>
      </c>
      <c r="O23" s="5" t="n">
        <v>5.7</v>
      </c>
    </row>
    <row r="24" customFormat="false" ht="15" hidden="false" customHeight="false" outlineLevel="0" collapsed="false">
      <c r="A24" s="2" t="s">
        <v>55</v>
      </c>
      <c r="B24" s="2" t="n">
        <v>43</v>
      </c>
      <c r="C24" s="2" t="s">
        <v>56</v>
      </c>
      <c r="D24" s="5" t="n">
        <v>42.8</v>
      </c>
      <c r="E24" s="5" t="n">
        <v>57.2</v>
      </c>
      <c r="F24" s="5" t="n">
        <v>47.4</v>
      </c>
      <c r="G24" s="5" t="n">
        <v>52.6</v>
      </c>
      <c r="H24" s="5" t="n">
        <v>4.6</v>
      </c>
      <c r="I24" s="5" t="n">
        <v>-4.6</v>
      </c>
      <c r="J24" s="2" t="s">
        <v>71</v>
      </c>
      <c r="K24" s="2" t="s">
        <v>71</v>
      </c>
      <c r="L24" s="5" t="n">
        <v>15.36</v>
      </c>
      <c r="M24" s="5" t="n">
        <v>11.41</v>
      </c>
      <c r="N24" s="5" t="n">
        <v>18.99</v>
      </c>
      <c r="O24" s="5" t="n">
        <v>7.57</v>
      </c>
    </row>
    <row r="25" customFormat="false" ht="15" hidden="false" customHeight="false" outlineLevel="0" collapsed="false">
      <c r="A25" s="2" t="s">
        <v>57</v>
      </c>
      <c r="B25" s="2" t="n">
        <v>42</v>
      </c>
      <c r="C25" s="2" t="s">
        <v>58</v>
      </c>
      <c r="D25" s="5" t="n">
        <v>42.7</v>
      </c>
      <c r="E25" s="5" t="n">
        <v>57.3</v>
      </c>
      <c r="F25" s="5" t="n">
        <v>44.6</v>
      </c>
      <c r="G25" s="5" t="n">
        <v>55.4</v>
      </c>
      <c r="H25" s="5" t="n">
        <v>1.9</v>
      </c>
      <c r="I25" s="5" t="n">
        <v>-1.9</v>
      </c>
      <c r="J25" s="2" t="s">
        <v>71</v>
      </c>
      <c r="K25" s="2" t="s">
        <v>71</v>
      </c>
      <c r="L25" s="5" t="n">
        <v>16.04</v>
      </c>
      <c r="M25" s="5" t="n">
        <v>11.93</v>
      </c>
      <c r="N25" s="5" t="n">
        <v>19.53</v>
      </c>
      <c r="O25" s="5" t="n">
        <v>7.6</v>
      </c>
    </row>
    <row r="26" customFormat="false" ht="15" hidden="false" customHeight="false" outlineLevel="0" collapsed="false">
      <c r="A26" s="2" t="s">
        <v>59</v>
      </c>
      <c r="B26" s="2" t="n">
        <v>28</v>
      </c>
      <c r="C26" s="2" t="s">
        <v>60</v>
      </c>
      <c r="D26" s="5" t="n">
        <v>46.5</v>
      </c>
      <c r="E26" s="5" t="n">
        <v>53.5</v>
      </c>
      <c r="F26" s="5" t="n">
        <v>40.3</v>
      </c>
      <c r="G26" s="5" t="n">
        <v>59.7</v>
      </c>
      <c r="H26" s="5" t="n">
        <v>-6.2</v>
      </c>
      <c r="I26" s="5" t="n">
        <v>6.2</v>
      </c>
      <c r="J26" s="2" t="s">
        <v>71</v>
      </c>
      <c r="K26" s="2" t="s">
        <v>71</v>
      </c>
      <c r="L26" s="5" t="n">
        <v>18.83</v>
      </c>
      <c r="M26" s="5" t="n">
        <v>11.05</v>
      </c>
      <c r="N26" s="5" t="n">
        <v>23.69</v>
      </c>
      <c r="O26" s="5" t="n">
        <v>12.64</v>
      </c>
    </row>
    <row r="27" customFormat="false" ht="15" hidden="false" customHeight="false" outlineLevel="0" collapsed="false">
      <c r="A27" s="2" t="s">
        <v>61</v>
      </c>
      <c r="B27" s="2" t="n">
        <v>35</v>
      </c>
      <c r="C27" s="2" t="s">
        <v>62</v>
      </c>
      <c r="D27" s="5" t="n">
        <v>45.4</v>
      </c>
      <c r="E27" s="5" t="n">
        <v>54.6</v>
      </c>
      <c r="F27" s="5" t="n">
        <v>46.2</v>
      </c>
      <c r="G27" s="5" t="n">
        <v>53.8</v>
      </c>
      <c r="H27" s="5" t="n">
        <v>0.8</v>
      </c>
      <c r="I27" s="5" t="n">
        <v>-0.8</v>
      </c>
      <c r="J27" s="2" t="s">
        <v>71</v>
      </c>
      <c r="K27" s="2" t="s">
        <v>71</v>
      </c>
      <c r="L27" s="5" t="n">
        <v>17.07</v>
      </c>
      <c r="M27" s="5" t="n">
        <v>12.18</v>
      </c>
      <c r="N27" s="5" t="n">
        <v>21.27</v>
      </c>
      <c r="O27" s="5" t="n">
        <v>9.09</v>
      </c>
    </row>
    <row r="28" customFormat="false" ht="15" hidden="false" customHeight="false" outlineLevel="0" collapsed="false">
      <c r="A28" s="2" t="s">
        <v>63</v>
      </c>
      <c r="B28" s="2" t="n">
        <v>17</v>
      </c>
      <c r="C28" s="2" t="s">
        <v>64</v>
      </c>
      <c r="D28" s="5" t="n">
        <v>55.3</v>
      </c>
      <c r="E28" s="5" t="n">
        <v>44.7</v>
      </c>
      <c r="F28" s="5" t="n">
        <v>46.2</v>
      </c>
      <c r="G28" s="5" t="n">
        <v>53.8</v>
      </c>
      <c r="H28" s="5" t="n">
        <v>-9.1</v>
      </c>
      <c r="I28" s="5" t="n">
        <v>9.1</v>
      </c>
      <c r="J28" s="2" t="s">
        <v>72</v>
      </c>
      <c r="K28" s="2" t="s">
        <v>71</v>
      </c>
      <c r="L28" s="5" t="n">
        <v>15.82</v>
      </c>
      <c r="M28" s="5" t="n">
        <v>11.21</v>
      </c>
      <c r="N28" s="5" t="n">
        <v>19.65</v>
      </c>
      <c r="O28" s="5" t="n">
        <v>8.44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22"/>
  </cols>
  <sheetData>
    <row r="1" customFormat="false" ht="15" hidden="false" customHeight="false" outlineLevel="0" collapsed="false">
      <c r="A1" s="4" t="s">
        <v>73</v>
      </c>
    </row>
    <row r="3" customFormat="false" ht="26.85" hidden="false" customHeight="false" outlineLevel="0" collapsed="false">
      <c r="B3" s="6" t="s">
        <v>4</v>
      </c>
      <c r="C3" s="6" t="s">
        <v>6</v>
      </c>
      <c r="D3" s="6" t="s">
        <v>8</v>
      </c>
      <c r="E3" s="6" t="s">
        <v>69</v>
      </c>
      <c r="F3" s="6" t="s">
        <v>70</v>
      </c>
    </row>
    <row r="4" customFormat="false" ht="15" hidden="false" customHeight="false" outlineLevel="0" collapsed="false">
      <c r="A4" s="4" t="s">
        <v>4</v>
      </c>
      <c r="B4" s="2" t="n">
        <v>1</v>
      </c>
      <c r="C4" s="2" t="n">
        <v>0.311</v>
      </c>
      <c r="D4" s="2" t="n">
        <v>-0.483</v>
      </c>
      <c r="E4" s="2" t="n">
        <v>-0.238</v>
      </c>
      <c r="F4" s="2" t="n">
        <v>-0.224</v>
      </c>
    </row>
    <row r="5" customFormat="false" ht="15" hidden="false" customHeight="false" outlineLevel="0" collapsed="false">
      <c r="A5" s="4" t="s">
        <v>6</v>
      </c>
      <c r="B5" s="2" t="n">
        <v>0.311</v>
      </c>
      <c r="C5" s="2" t="n">
        <v>1</v>
      </c>
      <c r="D5" s="2" t="n">
        <v>0.682</v>
      </c>
      <c r="E5" s="2" t="n">
        <v>-0.087</v>
      </c>
      <c r="F5" s="2" t="n">
        <v>-0.069</v>
      </c>
    </row>
    <row r="6" customFormat="false" ht="15" hidden="false" customHeight="false" outlineLevel="0" collapsed="false">
      <c r="A6" s="4" t="s">
        <v>8</v>
      </c>
      <c r="B6" s="2" t="n">
        <v>-0.483</v>
      </c>
      <c r="C6" s="2" t="n">
        <v>0.682</v>
      </c>
      <c r="D6" s="2" t="n">
        <v>1</v>
      </c>
      <c r="E6" s="2" t="n">
        <v>0.103</v>
      </c>
      <c r="F6" s="2" t="n">
        <v>0.108</v>
      </c>
    </row>
    <row r="7" customFormat="false" ht="15" hidden="false" customHeight="false" outlineLevel="0" collapsed="false">
      <c r="A7" s="4" t="s">
        <v>69</v>
      </c>
      <c r="B7" s="2" t="n">
        <v>-0.238</v>
      </c>
      <c r="C7" s="2" t="n">
        <v>-0.087</v>
      </c>
      <c r="D7" s="2" t="n">
        <v>0.103</v>
      </c>
      <c r="E7" s="2" t="n">
        <v>1</v>
      </c>
      <c r="F7" s="2" t="n">
        <v>0.947</v>
      </c>
    </row>
    <row r="8" customFormat="false" ht="15" hidden="false" customHeight="false" outlineLevel="0" collapsed="false">
      <c r="A8" s="4" t="s">
        <v>70</v>
      </c>
      <c r="B8" s="2" t="n">
        <v>-0.224</v>
      </c>
      <c r="C8" s="2" t="n">
        <v>-0.069</v>
      </c>
      <c r="D8" s="2" t="n">
        <v>0.108</v>
      </c>
      <c r="E8" s="2" t="n">
        <v>0.947</v>
      </c>
      <c r="F8" s="2" t="n">
        <v>1</v>
      </c>
    </row>
    <row r="11" customFormat="false" ht="15" hidden="false" customHeight="false" outlineLevel="0" collapsed="false">
      <c r="A11" s="7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2026-09-28T11:40:32Z</dcterms:created>
  <dc:creator>openpyxl</dc:creator>
  <dc:description/>
  <dc:language>en-US</dc:language>
  <cp:lastModifiedBy/>
  <dcterms:modified xsi:type="dcterms:W3CDTF">2026-09-28T11:40:32Z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